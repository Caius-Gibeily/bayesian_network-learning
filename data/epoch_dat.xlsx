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ory-my.sharepoint.com/personal/cgibeil_emory_edu/Documents/Documents/PhD/Projects/P1-CondProbs/Core_scripts/Cellular_targets_pipeline/Marina/Data/"/>
    </mc:Choice>
  </mc:AlternateContent>
  <xr:revisionPtr revIDLastSave="0" documentId="8_{85103480-52CA-443D-8889-6C9DE364AE3F}" xr6:coauthVersionLast="47" xr6:coauthVersionMax="47" xr10:uidLastSave="{00000000-0000-0000-0000-000000000000}"/>
  <bookViews>
    <workbookView xWindow="-96" yWindow="-96" windowWidth="23232" windowHeight="13872" xr2:uid="{1FE0F5F1-3274-4B4D-ADB1-BB494D23596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2" i="1"/>
  <c r="G2" i="1"/>
  <c r="F2" i="1"/>
  <c r="F52" i="1"/>
  <c r="F43" i="1"/>
  <c r="F33" i="1"/>
  <c r="F20" i="1"/>
  <c r="F8" i="1"/>
  <c r="D2" i="1"/>
  <c r="C2" i="1"/>
  <c r="D52" i="1"/>
  <c r="C52" i="1"/>
  <c r="D43" i="1"/>
  <c r="C43" i="1"/>
  <c r="D33" i="1"/>
  <c r="C33" i="1"/>
  <c r="D20" i="1"/>
  <c r="C20" i="1"/>
  <c r="C8" i="1"/>
  <c r="D8" i="1"/>
</calcChain>
</file>

<file path=xl/sharedStrings.xml><?xml version="1.0" encoding="utf-8"?>
<sst xmlns="http://schemas.openxmlformats.org/spreadsheetml/2006/main" count="2" uniqueCount="2">
  <si>
    <t>Duration</t>
  </si>
  <si>
    <t>n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</si>
</sst>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2B0D6-AC0C-4499-8519-967FCB29CB5F}">
  <dimension ref="A1:H52"/>
  <sheetViews>
    <sheetView tabSelected="1" topLeftCell="A2" zoomScale="106" workbookViewId="0">
      <selection activeCell="D16" sqref="D16"/>
    </sheetView>
  </sheetViews>
  <sheetFormatPr defaultRowHeight="14.4" x14ac:dyDescent="0.55000000000000004"/>
  <sheetData>
    <row r="1" spans="1:8" x14ac:dyDescent="0.55000000000000004">
      <c r="A1" t="s">
        <v>1</v>
      </c>
      <c r="B1" t="s">
        <v>0</v>
      </c>
    </row>
    <row r="2" spans="1:8" x14ac:dyDescent="0.55000000000000004">
      <c r="A2">
        <v>2</v>
      </c>
      <c r="B2">
        <v>21.2</v>
      </c>
      <c r="C2">
        <f>AVERAGE(B2:B52)</f>
        <v>7.0365957446808514</v>
      </c>
      <c r="D2">
        <f>_xlfn.STDEV.S(B2:B52)</f>
        <v>4.9509547944313947</v>
      </c>
      <c r="F2">
        <f>COUNTIF($A$2:$A$52,2)</f>
        <v>22</v>
      </c>
      <c r="G2">
        <f>COUNTIF($A$2:$A$52,3)</f>
        <v>20</v>
      </c>
      <c r="H2">
        <f>COUNTIF($A$2:$A$52,4)</f>
        <v>5</v>
      </c>
    </row>
    <row r="3" spans="1:8" x14ac:dyDescent="0.55000000000000004">
      <c r="A3">
        <v>3</v>
      </c>
      <c r="B3">
        <v>8.43</v>
      </c>
    </row>
    <row r="4" spans="1:8" x14ac:dyDescent="0.55000000000000004">
      <c r="A4">
        <v>3</v>
      </c>
      <c r="B4">
        <v>10.7</v>
      </c>
    </row>
    <row r="5" spans="1:8" x14ac:dyDescent="0.55000000000000004">
      <c r="A5">
        <v>2</v>
      </c>
      <c r="B5">
        <v>2.73</v>
      </c>
    </row>
    <row r="6" spans="1:8" x14ac:dyDescent="0.55000000000000004">
      <c r="A6">
        <v>4</v>
      </c>
      <c r="B6">
        <v>6.2</v>
      </c>
    </row>
    <row r="7" spans="1:8" x14ac:dyDescent="0.55000000000000004">
      <c r="A7">
        <v>3</v>
      </c>
      <c r="B7">
        <v>3.1</v>
      </c>
    </row>
    <row r="8" spans="1:8" x14ac:dyDescent="0.55000000000000004">
      <c r="A8">
        <v>3</v>
      </c>
      <c r="B8">
        <v>3.57</v>
      </c>
      <c r="C8">
        <f>AVERAGE(B2:B8)</f>
        <v>7.99</v>
      </c>
      <c r="D8">
        <f>_xlfn.STDEV.S(B2:B8)</f>
        <v>6.5365893247166769</v>
      </c>
      <c r="F8">
        <f>_xlfn.MODE.SNGL(A2:A8)</f>
        <v>3</v>
      </c>
    </row>
    <row r="10" spans="1:8" x14ac:dyDescent="0.55000000000000004">
      <c r="A10">
        <v>3</v>
      </c>
      <c r="B10">
        <v>4.57</v>
      </c>
    </row>
    <row r="11" spans="1:8" x14ac:dyDescent="0.55000000000000004">
      <c r="A11">
        <v>2</v>
      </c>
      <c r="B11">
        <v>5.43</v>
      </c>
      <c r="G11" s="1"/>
      <c r="H11">
        <f>COUNTIF(G11:G15,"Blue")</f>
        <v>0</v>
      </c>
    </row>
    <row r="12" spans="1:8" x14ac:dyDescent="0.55000000000000004">
      <c r="A12">
        <v>3</v>
      </c>
      <c r="B12">
        <v>3.57</v>
      </c>
      <c r="G12" s="1"/>
    </row>
    <row r="13" spans="1:8" x14ac:dyDescent="0.55000000000000004">
      <c r="A13">
        <v>2</v>
      </c>
      <c r="B13">
        <v>4.5</v>
      </c>
      <c r="G13" s="1"/>
    </row>
    <row r="14" spans="1:8" x14ac:dyDescent="0.55000000000000004">
      <c r="A14">
        <v>3</v>
      </c>
      <c r="B14">
        <v>3.03</v>
      </c>
      <c r="G14" s="1"/>
    </row>
    <row r="15" spans="1:8" x14ac:dyDescent="0.55000000000000004">
      <c r="A15">
        <v>2</v>
      </c>
      <c r="B15">
        <v>8.6</v>
      </c>
      <c r="G15" s="1"/>
    </row>
    <row r="16" spans="1:8" x14ac:dyDescent="0.55000000000000004">
      <c r="A16">
        <v>2</v>
      </c>
      <c r="B16">
        <v>2.4700000000000002</v>
      </c>
    </row>
    <row r="17" spans="1:6" x14ac:dyDescent="0.55000000000000004">
      <c r="A17">
        <v>3</v>
      </c>
      <c r="B17">
        <v>3.53</v>
      </c>
    </row>
    <row r="18" spans="1:6" x14ac:dyDescent="0.55000000000000004">
      <c r="A18">
        <v>3</v>
      </c>
      <c r="B18">
        <v>6.2</v>
      </c>
    </row>
    <row r="19" spans="1:6" x14ac:dyDescent="0.55000000000000004">
      <c r="A19">
        <v>3</v>
      </c>
      <c r="B19">
        <v>10.87</v>
      </c>
    </row>
    <row r="20" spans="1:6" x14ac:dyDescent="0.55000000000000004">
      <c r="A20">
        <v>2</v>
      </c>
      <c r="B20">
        <v>13.97</v>
      </c>
      <c r="C20">
        <f>AVERAGE(B10:B20)</f>
        <v>6.0672727272727283</v>
      </c>
      <c r="D20">
        <f>_xlfn.STDEV.S(B10:B20)</f>
        <v>3.6317408798235875</v>
      </c>
      <c r="F20">
        <f>_xlfn.MODE.SNGL(A10:A20)</f>
        <v>3</v>
      </c>
    </row>
    <row r="22" spans="1:6" x14ac:dyDescent="0.55000000000000004">
      <c r="A22">
        <v>3</v>
      </c>
      <c r="B22">
        <v>4.4000000000000004</v>
      </c>
    </row>
    <row r="23" spans="1:6" x14ac:dyDescent="0.55000000000000004">
      <c r="A23">
        <v>2</v>
      </c>
      <c r="B23">
        <v>2.73</v>
      </c>
    </row>
    <row r="24" spans="1:6" x14ac:dyDescent="0.55000000000000004">
      <c r="A24">
        <v>2</v>
      </c>
      <c r="B24">
        <v>4.13</v>
      </c>
    </row>
    <row r="25" spans="1:6" x14ac:dyDescent="0.55000000000000004">
      <c r="A25">
        <v>2</v>
      </c>
      <c r="B25">
        <v>10.4</v>
      </c>
    </row>
    <row r="26" spans="1:6" x14ac:dyDescent="0.55000000000000004">
      <c r="A26">
        <v>2</v>
      </c>
      <c r="B26">
        <v>8.93</v>
      </c>
    </row>
    <row r="27" spans="1:6" x14ac:dyDescent="0.55000000000000004">
      <c r="A27">
        <v>2</v>
      </c>
      <c r="B27">
        <v>9.1</v>
      </c>
    </row>
    <row r="28" spans="1:6" x14ac:dyDescent="0.55000000000000004">
      <c r="A28">
        <v>2</v>
      </c>
      <c r="B28">
        <v>4.7</v>
      </c>
    </row>
    <row r="29" spans="1:6" x14ac:dyDescent="0.55000000000000004">
      <c r="A29">
        <v>2</v>
      </c>
      <c r="B29">
        <v>4.97</v>
      </c>
    </row>
    <row r="30" spans="1:6" x14ac:dyDescent="0.55000000000000004">
      <c r="A30">
        <v>3</v>
      </c>
      <c r="B30">
        <v>3.53</v>
      </c>
    </row>
    <row r="31" spans="1:6" x14ac:dyDescent="0.55000000000000004">
      <c r="A31">
        <v>2</v>
      </c>
      <c r="B31">
        <v>20.77</v>
      </c>
    </row>
    <row r="32" spans="1:6" x14ac:dyDescent="0.55000000000000004">
      <c r="A32">
        <v>2</v>
      </c>
      <c r="B32">
        <v>7.03</v>
      </c>
    </row>
    <row r="33" spans="1:6" x14ac:dyDescent="0.55000000000000004">
      <c r="A33">
        <v>2</v>
      </c>
      <c r="B33">
        <v>8.4700000000000006</v>
      </c>
      <c r="C33">
        <f>AVERAGE(B22:B33)</f>
        <v>7.4300000000000006</v>
      </c>
      <c r="D33">
        <f>_xlfn.STDEV.S(B22:B33)</f>
        <v>4.8983522275816913</v>
      </c>
      <c r="F33">
        <f>_xlfn.MODE.SNGL(A22:A33)</f>
        <v>2</v>
      </c>
    </row>
    <row r="34" spans="1:6" x14ac:dyDescent="0.55000000000000004">
      <c r="A34">
        <v>351</v>
      </c>
    </row>
    <row r="35" spans="1:6" x14ac:dyDescent="0.55000000000000004">
      <c r="A35">
        <v>3</v>
      </c>
      <c r="B35">
        <v>7.97</v>
      </c>
    </row>
    <row r="36" spans="1:6" x14ac:dyDescent="0.55000000000000004">
      <c r="A36">
        <v>3</v>
      </c>
      <c r="B36">
        <v>13.83</v>
      </c>
    </row>
    <row r="37" spans="1:6" x14ac:dyDescent="0.55000000000000004">
      <c r="A37">
        <v>3</v>
      </c>
      <c r="B37">
        <v>6.23</v>
      </c>
    </row>
    <row r="38" spans="1:6" x14ac:dyDescent="0.55000000000000004">
      <c r="A38">
        <v>3</v>
      </c>
      <c r="B38">
        <v>5.73</v>
      </c>
    </row>
    <row r="39" spans="1:6" x14ac:dyDescent="0.55000000000000004">
      <c r="A39">
        <v>4</v>
      </c>
      <c r="B39">
        <v>3</v>
      </c>
    </row>
    <row r="40" spans="1:6" x14ac:dyDescent="0.55000000000000004">
      <c r="A40">
        <v>3</v>
      </c>
      <c r="B40">
        <v>3.93</v>
      </c>
    </row>
    <row r="41" spans="1:6" x14ac:dyDescent="0.55000000000000004">
      <c r="A41">
        <v>2</v>
      </c>
      <c r="B41">
        <v>3.73</v>
      </c>
    </row>
    <row r="42" spans="1:6" x14ac:dyDescent="0.55000000000000004">
      <c r="A42">
        <v>3</v>
      </c>
      <c r="B42">
        <v>2.27</v>
      </c>
    </row>
    <row r="43" spans="1:6" x14ac:dyDescent="0.55000000000000004">
      <c r="A43">
        <v>4</v>
      </c>
      <c r="B43">
        <v>10.07</v>
      </c>
      <c r="C43">
        <f>AVERAGE(B35:B43)</f>
        <v>6.3066666666666675</v>
      </c>
      <c r="D43">
        <f>_xlfn.STDEV.S(B35:B43)</f>
        <v>3.7647177849076545</v>
      </c>
      <c r="F43">
        <f>_xlfn.MODE.SNGL(A35:A43)</f>
        <v>3</v>
      </c>
    </row>
    <row r="44" spans="1:6" x14ac:dyDescent="0.55000000000000004">
      <c r="A44">
        <v>352</v>
      </c>
    </row>
    <row r="45" spans="1:6" x14ac:dyDescent="0.55000000000000004">
      <c r="A45">
        <v>2</v>
      </c>
      <c r="B45">
        <v>4.8</v>
      </c>
    </row>
    <row r="46" spans="1:6" x14ac:dyDescent="0.55000000000000004">
      <c r="A46">
        <v>3</v>
      </c>
      <c r="B46">
        <v>11.3</v>
      </c>
    </row>
    <row r="47" spans="1:6" x14ac:dyDescent="0.55000000000000004">
      <c r="A47">
        <v>4</v>
      </c>
      <c r="B47">
        <v>18.63</v>
      </c>
    </row>
    <row r="48" spans="1:6" x14ac:dyDescent="0.55000000000000004">
      <c r="A48">
        <v>4</v>
      </c>
      <c r="B48">
        <v>2.87</v>
      </c>
    </row>
    <row r="49" spans="1:6" x14ac:dyDescent="0.55000000000000004">
      <c r="A49">
        <v>3</v>
      </c>
      <c r="B49">
        <v>3.17</v>
      </c>
    </row>
    <row r="50" spans="1:6" x14ac:dyDescent="0.55000000000000004">
      <c r="A50">
        <v>2</v>
      </c>
      <c r="B50">
        <v>1.33</v>
      </c>
    </row>
    <row r="51" spans="1:6" x14ac:dyDescent="0.55000000000000004">
      <c r="A51">
        <v>2</v>
      </c>
      <c r="B51">
        <v>17.03</v>
      </c>
    </row>
    <row r="52" spans="1:6" x14ac:dyDescent="0.55000000000000004">
      <c r="A52">
        <v>2</v>
      </c>
      <c r="B52">
        <v>3</v>
      </c>
      <c r="C52">
        <f>AVERAGE(B45:B52)</f>
        <v>7.7662500000000003</v>
      </c>
      <c r="D52">
        <f>_xlfn.STDEV.S(B45:B52)</f>
        <v>6.9113301128343894</v>
      </c>
      <c r="F52">
        <f>_xlfn.MODE.SNGL(A45:A52)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Gibeily, Caius</dc:creator>
  <cp:lastModifiedBy>Gibeily, Caius</cp:lastModifiedBy>
  <dcterms:created xsi:type="dcterms:W3CDTF">2026-02-10T23:05:04Z</dcterms:created>
  <dcterms:modified xsi:type="dcterms:W3CDTF">2026-02-16T20:51:38Z</dcterms:modified>
</cp:coreProperties>
</file>